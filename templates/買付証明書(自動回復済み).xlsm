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yarino/Downloads/"/>
    </mc:Choice>
  </mc:AlternateContent>
  <xr:revisionPtr revIDLastSave="0" documentId="13_ncr:1_{2D4FAC93-5A6E-3C44-8F15-DE59AF0F1063}" xr6:coauthVersionLast="47" xr6:coauthVersionMax="47" xr10:uidLastSave="{00000000-0000-0000-0000-000000000000}"/>
  <bookViews>
    <workbookView xWindow="0" yWindow="760" windowWidth="34560" windowHeight="20140" activeTab="1" xr2:uid="{00000000-000D-0000-FFFF-FFFF00000000}"/>
  </bookViews>
  <sheets>
    <sheet name="入力用" sheetId="13" r:id="rId1"/>
    <sheet name="買付証明書" sheetId="12" r:id="rId2"/>
  </sheets>
  <definedNames>
    <definedName name="_xlnm.Print_Area" localSheetId="1">買付証明書!$A$2:$AG$36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4" i="12" l="1"/>
  <c r="W4" i="12"/>
  <c r="A30" i="12"/>
  <c r="A31" i="12"/>
  <c r="A32" i="12"/>
  <c r="A33" i="12"/>
  <c r="A34" i="12"/>
  <c r="V27" i="12"/>
  <c r="S27" i="12"/>
  <c r="N27" i="12"/>
  <c r="M23" i="12"/>
  <c r="M22" i="12"/>
  <c r="K20" i="12"/>
  <c r="K19" i="12"/>
  <c r="K18" i="12"/>
  <c r="K17" i="12"/>
  <c r="AB4" i="12"/>
</calcChain>
</file>

<file path=xl/sharedStrings.xml><?xml version="1.0" encoding="utf-8"?>
<sst xmlns="http://schemas.openxmlformats.org/spreadsheetml/2006/main" count="61" uniqueCount="46">
  <si>
    <t>→無料テンプレートのホームページへ</t>
    <phoneticPr fontId="5"/>
  </si>
  <si>
    <t>買付証明書</t>
    <rPh sb="0" eb="2">
      <t>カイツケ</t>
    </rPh>
    <rPh sb="2" eb="5">
      <t>ショウメイショ</t>
    </rPh>
    <phoneticPr fontId="4"/>
  </si>
  <si>
    <t>年</t>
    <rPh sb="0" eb="1">
      <t>ネン</t>
    </rPh>
    <phoneticPr fontId="4"/>
  </si>
  <si>
    <t>月</t>
    <rPh sb="0" eb="1">
      <t>ツキ</t>
    </rPh>
    <phoneticPr fontId="4"/>
  </si>
  <si>
    <t>日</t>
    <rPh sb="0" eb="1">
      <t>ニチ</t>
    </rPh>
    <phoneticPr fontId="4"/>
  </si>
  <si>
    <t>様</t>
    <rPh sb="0" eb="1">
      <t>サマ</t>
    </rPh>
    <phoneticPr fontId="4"/>
  </si>
  <si>
    <t>私は、下記不動産を、下記の条件にて購入したく、買い付けることを証明いたします。</t>
    <rPh sb="0" eb="1">
      <t>ワタシ</t>
    </rPh>
    <rPh sb="3" eb="5">
      <t>カキ</t>
    </rPh>
    <rPh sb="5" eb="8">
      <t>フ</t>
    </rPh>
    <rPh sb="10" eb="12">
      <t>カキ</t>
    </rPh>
    <rPh sb="13" eb="15">
      <t>ジョウケン</t>
    </rPh>
    <rPh sb="17" eb="19">
      <t>コウニュウ</t>
    </rPh>
    <rPh sb="23" eb="24">
      <t>カ</t>
    </rPh>
    <rPh sb="25" eb="26">
      <t>ツ</t>
    </rPh>
    <rPh sb="31" eb="33">
      <t>ショウメイ</t>
    </rPh>
    <phoneticPr fontId="4"/>
  </si>
  <si>
    <t>記</t>
    <rPh sb="0" eb="1">
      <t>キ</t>
    </rPh>
    <phoneticPr fontId="4"/>
  </si>
  <si>
    <t>１．物件</t>
    <rPh sb="2" eb="4">
      <t>ブッケン</t>
    </rPh>
    <phoneticPr fontId="4"/>
  </si>
  <si>
    <t>物件名</t>
    <rPh sb="0" eb="2">
      <t>ブッケン</t>
    </rPh>
    <rPh sb="2" eb="3">
      <t>メイ</t>
    </rPh>
    <phoneticPr fontId="4"/>
  </si>
  <si>
    <t>所　在</t>
    <rPh sb="0" eb="1">
      <t>トコロ</t>
    </rPh>
    <rPh sb="2" eb="3">
      <t>ザイ</t>
    </rPh>
    <phoneticPr fontId="4"/>
  </si>
  <si>
    <t>土　地</t>
    <rPh sb="0" eb="1">
      <t>ツチ</t>
    </rPh>
    <rPh sb="2" eb="3">
      <t>チ</t>
    </rPh>
    <phoneticPr fontId="4"/>
  </si>
  <si>
    <t>㎡</t>
    <phoneticPr fontId="4"/>
  </si>
  <si>
    <t>建　物</t>
    <rPh sb="0" eb="1">
      <t>ケン</t>
    </rPh>
    <rPh sb="2" eb="3">
      <t>ブツ</t>
    </rPh>
    <phoneticPr fontId="4"/>
  </si>
  <si>
    <t>２．条件</t>
    <rPh sb="2" eb="4">
      <t>ジョウケン</t>
    </rPh>
    <phoneticPr fontId="4"/>
  </si>
  <si>
    <t>購入価格</t>
    <rPh sb="0" eb="2">
      <t>コウニュウ</t>
    </rPh>
    <rPh sb="2" eb="4">
      <t>カカク</t>
    </rPh>
    <phoneticPr fontId="4"/>
  </si>
  <si>
    <t>金</t>
    <rPh sb="0" eb="1">
      <t>キン</t>
    </rPh>
    <phoneticPr fontId="4"/>
  </si>
  <si>
    <t>円也</t>
    <rPh sb="0" eb="1">
      <t>エン</t>
    </rPh>
    <rPh sb="1" eb="2">
      <t>ナリ</t>
    </rPh>
    <phoneticPr fontId="4"/>
  </si>
  <si>
    <t>手付金</t>
    <rPh sb="0" eb="3">
      <t>テツケキン</t>
    </rPh>
    <phoneticPr fontId="4"/>
  </si>
  <si>
    <t>※購入価格に充当</t>
    <rPh sb="1" eb="3">
      <t>コウニュウ</t>
    </rPh>
    <rPh sb="3" eb="5">
      <t>カカク</t>
    </rPh>
    <rPh sb="6" eb="8">
      <t>ジュウトウ</t>
    </rPh>
    <phoneticPr fontId="4"/>
  </si>
  <si>
    <t>３．支払方法</t>
    <rPh sb="2" eb="4">
      <t>シハライ</t>
    </rPh>
    <rPh sb="4" eb="6">
      <t>ホウホウ</t>
    </rPh>
    <phoneticPr fontId="4"/>
  </si>
  <si>
    <t>銀行融資（融資特約あり）</t>
    <rPh sb="0" eb="4">
      <t>ギンコウユウシ</t>
    </rPh>
    <rPh sb="5" eb="7">
      <t>ユウシ</t>
    </rPh>
    <rPh sb="7" eb="9">
      <t>トクヤク</t>
    </rPh>
    <phoneticPr fontId="4"/>
  </si>
  <si>
    <t>４．有効期間</t>
    <rPh sb="2" eb="4">
      <t>ユウコウ</t>
    </rPh>
    <rPh sb="4" eb="6">
      <t>キカン</t>
    </rPh>
    <phoneticPr fontId="4"/>
  </si>
  <si>
    <t>本書面の有効期間は</t>
    <rPh sb="0" eb="2">
      <t>ホンショ</t>
    </rPh>
    <rPh sb="2" eb="3">
      <t>メン</t>
    </rPh>
    <rPh sb="4" eb="6">
      <t>ユウコウ</t>
    </rPh>
    <rPh sb="6" eb="8">
      <t>キカン</t>
    </rPh>
    <phoneticPr fontId="4"/>
  </si>
  <si>
    <t>日まで</t>
    <rPh sb="0" eb="1">
      <t>ニチ</t>
    </rPh>
    <phoneticPr fontId="4"/>
  </si>
  <si>
    <t>以上</t>
    <rPh sb="0" eb="2">
      <t>イジョウ</t>
    </rPh>
    <phoneticPr fontId="4"/>
  </si>
  <si>
    <t>売主</t>
    <rPh sb="0" eb="2">
      <t>ウリヌセィ</t>
    </rPh>
    <phoneticPr fontId="4"/>
  </si>
  <si>
    <t>　京都中央信用金庫にて、融資金額4,500万円で支店承認済。上記購入価格をご了承いただける場合は、</t>
    <rPh sb="1" eb="9">
      <t>キョウ</t>
    </rPh>
    <rPh sb="12" eb="16">
      <t>ユウセィ</t>
    </rPh>
    <rPh sb="21" eb="23">
      <t>マンエn</t>
    </rPh>
    <rPh sb="24" eb="26">
      <t>シテンク</t>
    </rPh>
    <rPh sb="26" eb="28">
      <t>ショウ</t>
    </rPh>
    <rPh sb="28" eb="29">
      <t>スミ</t>
    </rPh>
    <rPh sb="30" eb="32">
      <t>ジョウ</t>
    </rPh>
    <rPh sb="32" eb="36">
      <t>コウニュウク</t>
    </rPh>
    <rPh sb="45" eb="47">
      <t>バアイサイタnシュウホnカンリョウ</t>
    </rPh>
    <phoneticPr fontId="4"/>
  </si>
  <si>
    <t>お返事をいただいてから最短２週間で本稟議審査完了します。そのため、融資内諾確認後に、契約書等の</t>
    <rPh sb="14" eb="16">
      <t xml:space="preserve">リンギ </t>
    </rPh>
    <rPh sb="16" eb="18">
      <t>シンサ</t>
    </rPh>
    <rPh sb="29" eb="31">
      <t>ユウシセィ</t>
    </rPh>
    <rPh sb="31" eb="36">
      <t>ナイダク</t>
    </rPh>
    <rPh sb="38" eb="41">
      <t>ケイヤク</t>
    </rPh>
    <rPh sb="41" eb="42">
      <t>トウ</t>
    </rPh>
    <rPh sb="43" eb="45">
      <t>テツヅキカイトウホウモンダイ</t>
    </rPh>
    <phoneticPr fontId="4"/>
  </si>
  <si>
    <t>手続き開始でも当方は問題ございません。大変恐縮ではございますが、ご検討のほどよろしくお願い致します。</t>
    <rPh sb="16" eb="20">
      <t>タイヘn</t>
    </rPh>
    <phoneticPr fontId="4"/>
  </si>
  <si>
    <t>住所　大阪府茨木市東奈良一丁目13番６号</t>
    <phoneticPr fontId="4"/>
  </si>
  <si>
    <t>氏名　株式会社 JORHOOD
      代表取締役 重本憲人</t>
    <rPh sb="3" eb="7">
      <t>カブシキ</t>
    </rPh>
    <rPh sb="22" eb="27">
      <t>ダイヒョウ</t>
    </rPh>
    <phoneticPr fontId="4"/>
  </si>
  <si>
    <t>日付</t>
    <rPh sb="0" eb="2">
      <t>ヒヅケ</t>
    </rPh>
    <phoneticPr fontId="4"/>
  </si>
  <si>
    <t>年</t>
    <rPh sb="0" eb="1">
      <t>ネn</t>
    </rPh>
    <phoneticPr fontId="4"/>
  </si>
  <si>
    <t>月</t>
    <rPh sb="0" eb="1">
      <t>ガテゥ</t>
    </rPh>
    <phoneticPr fontId="4"/>
  </si>
  <si>
    <t>日</t>
    <rPh sb="0" eb="1">
      <t xml:space="preserve">ヒ </t>
    </rPh>
    <phoneticPr fontId="4"/>
  </si>
  <si>
    <t>購入価格</t>
    <rPh sb="0" eb="4">
      <t>コウニュウ</t>
    </rPh>
    <phoneticPr fontId="4"/>
  </si>
  <si>
    <t>手付金</t>
    <rPh sb="0" eb="3">
      <t>テツケ</t>
    </rPh>
    <phoneticPr fontId="4"/>
  </si>
  <si>
    <t>円</t>
    <rPh sb="0" eb="1">
      <t>エn</t>
    </rPh>
    <phoneticPr fontId="4"/>
  </si>
  <si>
    <t>有効期間</t>
    <rPh sb="0" eb="4">
      <t>ユウコ</t>
    </rPh>
    <phoneticPr fontId="4"/>
  </si>
  <si>
    <t>その他条件</t>
    <phoneticPr fontId="4"/>
  </si>
  <si>
    <t>なし</t>
  </si>
  <si>
    <t>　素晴らしい物件にご縁をいただき感謝申し上げます。</t>
    <rPh sb="1" eb="3">
      <t>スバラセィ</t>
    </rPh>
    <rPh sb="6" eb="8">
      <t>ブッケn</t>
    </rPh>
    <rPh sb="16" eb="19">
      <t>カンセィア</t>
    </rPh>
    <phoneticPr fontId="4"/>
  </si>
  <si>
    <t>５．その他条件等</t>
    <rPh sb="4" eb="5">
      <t>タ</t>
    </rPh>
    <rPh sb="5" eb="7">
      <t>ジョウケン</t>
    </rPh>
    <rPh sb="7" eb="8">
      <t>トウ</t>
    </rPh>
    <phoneticPr fontId="4"/>
  </si>
  <si>
    <t>タウン西野</t>
    <phoneticPr fontId="4"/>
  </si>
  <si>
    <t>岐阜市西野町8-5-6</t>
    <rPh sb="0" eb="3">
      <t>ギフ</t>
    </rPh>
    <rPh sb="3" eb="6">
      <t>ニシノ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</si>
</sst>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13">
    <font>
      <sz val="11"/>
      <name val="ＭＳ 明朝"/>
      <family val="1"/>
      <charset val="128"/>
    </font>
    <font>
      <sz val="11"/>
      <name val="ＭＳ 明朝"/>
      <family val="1"/>
      <charset val="128"/>
    </font>
    <font>
      <sz val="11"/>
      <name val="ＭＳ Ｐゴシック"/>
      <family val="2"/>
      <charset val="128"/>
    </font>
    <font>
      <u/>
      <sz val="11"/>
      <color indexed="12"/>
      <name val="ＭＳ Ｐゴシック"/>
      <family val="3"/>
      <charset val="128"/>
    </font>
    <font>
      <sz val="6"/>
      <name val="ＭＳ 明朝"/>
      <family val="1"/>
      <charset val="128"/>
    </font>
    <font>
      <sz val="6"/>
      <name val="ＭＳ Ｐゴシック"/>
      <family val="2"/>
      <charset val="128"/>
    </font>
    <font>
      <u/>
      <sz val="9"/>
      <color indexed="12"/>
      <name val="ＭＳ 明朝"/>
      <family val="1"/>
      <charset val="128"/>
    </font>
    <font>
      <sz val="11"/>
      <name val="ＭＳ 明朝"/>
      <family val="1"/>
      <charset val="128"/>
    </font>
    <font>
      <sz val="24"/>
      <name val="ＭＳ 明朝"/>
      <family val="1"/>
      <charset val="128"/>
    </font>
    <font>
      <sz val="11"/>
      <name val="ＭＳ 明朝"/>
      <family val="1"/>
      <charset val="128"/>
    </font>
    <font>
      <sz val="11"/>
      <name val="ＭＳ 明朝"/>
      <family val="1"/>
      <charset val="128"/>
    </font>
    <font>
      <sz val="10"/>
      <name val="ＭＳ 明朝"/>
      <family val="1"/>
      <charset val="128"/>
    </font>
    <font>
      <sz val="11"/>
      <color rgb="FF000000"/>
      <name val="ＭＳ 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38" fontId="1" fillId="0" borderId="0" applyFont="0" applyFill="0" applyBorder="0" applyAlignment="0" applyProtection="0">
      <alignment vertical="center"/>
    </xf>
    <xf numFmtId="0" fontId="2" fillId="0" borderId="0"/>
  </cellStyleXfs>
  <cellXfs count="57">
    <xf numFmtId="0" fontId="0" fillId="0" borderId="0" xfId="0">
      <alignment vertical="center"/>
    </xf>
    <xf numFmtId="0" fontId="6" fillId="0" borderId="0" xfId="1" applyFont="1" applyAlignment="1" applyProtection="1">
      <alignment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0" fillId="0" borderId="2" xfId="0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vertical="center" wrapText="1"/>
    </xf>
    <xf numFmtId="0" fontId="1" fillId="0" borderId="0" xfId="0" applyFont="1">
      <alignment vertical="center"/>
    </xf>
    <xf numFmtId="0" fontId="1" fillId="0" borderId="0" xfId="3" applyFont="1" applyAlignment="1">
      <alignment horizontal="left" vertical="top"/>
    </xf>
    <xf numFmtId="0" fontId="1" fillId="0" borderId="0" xfId="3" applyFont="1" applyAlignment="1" applyProtection="1">
      <alignment horizontal="center" vertical="center"/>
      <protection locked="0"/>
    </xf>
    <xf numFmtId="0" fontId="1" fillId="0" borderId="2" xfId="3" applyFont="1" applyBorder="1" applyAlignment="1" applyProtection="1">
      <alignment horizontal="center" vertical="center"/>
      <protection locked="0"/>
    </xf>
    <xf numFmtId="0" fontId="1" fillId="0" borderId="1" xfId="0" applyFont="1" applyBorder="1">
      <alignment vertical="center"/>
    </xf>
    <xf numFmtId="0" fontId="1" fillId="0" borderId="1" xfId="3" applyFont="1" applyBorder="1" applyAlignment="1" applyProtection="1">
      <alignment horizontal="center" vertical="center"/>
      <protection locked="0"/>
    </xf>
    <xf numFmtId="0" fontId="1" fillId="0" borderId="0" xfId="3" applyFont="1" applyAlignment="1" applyProtection="1">
      <alignment horizontal="center" vertical="top"/>
      <protection locked="0"/>
    </xf>
    <xf numFmtId="0" fontId="8" fillId="0" borderId="0" xfId="0" applyFont="1" applyAlignment="1">
      <alignment horizontal="center" vertical="center"/>
    </xf>
    <xf numFmtId="0" fontId="1" fillId="0" borderId="2" xfId="0" applyFont="1" applyBorder="1">
      <alignment vertical="center"/>
    </xf>
    <xf numFmtId="0" fontId="0" fillId="0" borderId="0" xfId="3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>
      <alignment vertical="center"/>
    </xf>
    <xf numFmtId="0" fontId="0" fillId="2" borderId="1" xfId="0" applyFill="1" applyBorder="1">
      <alignment vertical="center"/>
    </xf>
    <xf numFmtId="0" fontId="0" fillId="0" borderId="7" xfId="0" applyBorder="1">
      <alignment vertical="center"/>
    </xf>
    <xf numFmtId="0" fontId="1" fillId="0" borderId="6" xfId="0" applyFont="1" applyBorder="1">
      <alignment vertical="center"/>
    </xf>
    <xf numFmtId="0" fontId="1" fillId="0" borderId="8" xfId="0" applyFont="1" applyBorder="1">
      <alignment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0" fillId="3" borderId="7" xfId="0" applyFill="1" applyBorder="1" applyAlignment="1">
      <alignment horizontal="center" vertical="center"/>
    </xf>
    <xf numFmtId="0" fontId="11" fillId="2" borderId="4" xfId="0" applyFont="1" applyFill="1" applyBorder="1">
      <alignment vertical="center"/>
    </xf>
    <xf numFmtId="0" fontId="0" fillId="0" borderId="0" xfId="3" applyFont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176" fontId="1" fillId="0" borderId="1" xfId="2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1" fillId="0" borderId="2" xfId="0" applyFont="1" applyBorder="1">
      <alignment vertical="center"/>
    </xf>
    <xf numFmtId="0" fontId="0" fillId="0" borderId="0" xfId="3" applyFont="1" applyAlignment="1">
      <alignment horizontal="left" vertical="center" wrapText="1"/>
    </xf>
    <xf numFmtId="2" fontId="1" fillId="0" borderId="1" xfId="0" applyNumberFormat="1" applyFont="1" applyBorder="1" applyAlignment="1">
      <alignment horizontal="left" vertical="center"/>
    </xf>
    <xf numFmtId="49" fontId="0" fillId="0" borderId="0" xfId="3" applyNumberFormat="1" applyFont="1" applyAlignment="1">
      <alignment horizontal="center" vertical="center" wrapText="1"/>
    </xf>
    <xf numFmtId="49" fontId="0" fillId="0" borderId="2" xfId="3" applyNumberFormat="1" applyFont="1" applyBorder="1" applyAlignment="1">
      <alignment horizontal="center" vertical="center" wrapText="1"/>
    </xf>
    <xf numFmtId="0" fontId="11" fillId="0" borderId="5" xfId="0" applyFont="1" applyBorder="1">
      <alignment vertical="center"/>
    </xf>
    <xf numFmtId="0" fontId="11" fillId="0" borderId="3" xfId="0" applyFont="1" applyBorder="1">
      <alignment vertical="center"/>
    </xf>
    <xf numFmtId="3" fontId="1" fillId="0" borderId="0" xfId="0" applyNumberFormat="1" applyFont="1" applyAlignment="1">
      <alignment horizontal="center" vertical="center"/>
    </xf>
    <xf numFmtId="38" fontId="1" fillId="0" borderId="0" xfId="2" applyFont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horizontal="left" vertical="center"/>
    </xf>
    <xf numFmtId="0" fontId="11" fillId="2" borderId="3" xfId="0" applyFont="1" applyFill="1" applyBorder="1">
      <alignment vertical="center"/>
    </xf>
    <xf numFmtId="38" fontId="0" fillId="2" borderId="1" xfId="2" applyFont="1" applyFill="1" applyBorder="1" applyAlignment="1">
      <alignment horizontal="left" vertical="center"/>
    </xf>
    <xf numFmtId="38" fontId="0" fillId="2" borderId="9" xfId="2" applyFont="1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11" fillId="2" borderId="5" xfId="0" applyFont="1" applyFill="1" applyBorder="1">
      <alignment vertical="center"/>
    </xf>
  </cellXfs>
  <cellStyles count="4">
    <cellStyle name="ハイパーリンク" xfId="1" builtinId="8"/>
    <cellStyle name="桁区切り" xfId="2" builtinId="6"/>
    <cellStyle name="標準" xfId="0" builtinId="0"/>
    <cellStyle name="標準_Sheet1" xfId="3" xr:uid="{00000000-0005-0000-0000-000003000000}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279400</xdr:colOff>
          <xdr:row>14</xdr:row>
          <xdr:rowOff>101600</xdr:rowOff>
        </xdr:from>
        <xdr:to>
          <xdr:col>8</xdr:col>
          <xdr:colOff>749300</xdr:colOff>
          <xdr:row>16</xdr:row>
          <xdr:rowOff>38100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明朝" charset="-128"/>
                  <a:ea typeface="ＭＳ 明朝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93857</xdr:colOff>
      <xdr:row>5</xdr:row>
      <xdr:rowOff>201876</xdr:rowOff>
    </xdr:from>
    <xdr:to>
      <xdr:col>33</xdr:col>
      <xdr:colOff>2280</xdr:colOff>
      <xdr:row>10</xdr:row>
      <xdr:rowOff>40187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9CC05A42-703F-9E1D-2B74-5BBB88018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6389426">
          <a:off x="5755013" y="1716220"/>
          <a:ext cx="981311" cy="92442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template.k-solution.info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C2257-E4A2-0440-B313-ADA0DC07A4A7}">
  <sheetPr codeName="Sheet1">
    <tabColor rgb="FFFFFF00"/>
  </sheetPr>
  <dimension ref="A1:AH14"/>
  <sheetViews>
    <sheetView zoomScale="170" workbookViewId="0">
      <selection activeCell="B10" sqref="B10:AH10"/>
    </sheetView>
  </sheetViews>
  <sheetFormatPr baseColWidth="10" defaultRowHeight="14"/>
  <cols>
    <col min="2" max="2" width="6" bestFit="1" customWidth="1"/>
    <col min="3" max="3" width="3.83203125" bestFit="1" customWidth="1"/>
    <col min="4" max="4" width="3" bestFit="1" customWidth="1"/>
    <col min="5" max="5" width="3.83203125" bestFit="1" customWidth="1"/>
    <col min="6" max="6" width="4" bestFit="1" customWidth="1"/>
    <col min="7" max="7" width="3.83203125" bestFit="1" customWidth="1"/>
    <col min="15" max="34" width="0.83203125" customWidth="1"/>
  </cols>
  <sheetData>
    <row r="1" spans="1:34">
      <c r="A1" s="20" t="s">
        <v>32</v>
      </c>
      <c r="B1" s="21">
        <v>2026</v>
      </c>
      <c r="C1" s="6" t="s">
        <v>33</v>
      </c>
      <c r="D1" s="21">
        <v>3</v>
      </c>
      <c r="E1" s="6" t="s">
        <v>34</v>
      </c>
      <c r="F1" s="21">
        <v>12</v>
      </c>
      <c r="G1" s="22" t="s">
        <v>35</v>
      </c>
    </row>
    <row r="2" spans="1:34">
      <c r="A2" s="24" t="s">
        <v>9</v>
      </c>
      <c r="B2" s="47" t="s">
        <v>44</v>
      </c>
      <c r="C2" s="47"/>
      <c r="D2" s="47"/>
      <c r="E2" s="47"/>
      <c r="F2" s="47"/>
      <c r="G2" s="48"/>
    </row>
    <row r="3" spans="1:34">
      <c r="A3" s="23" t="s">
        <v>10</v>
      </c>
      <c r="B3" s="54" t="s">
        <v>45</v>
      </c>
      <c r="C3" s="54"/>
      <c r="D3" s="54"/>
      <c r="E3" s="54"/>
      <c r="F3" s="54"/>
      <c r="G3" s="54"/>
      <c r="H3" s="54"/>
      <c r="I3" s="55"/>
    </row>
    <row r="4" spans="1:34">
      <c r="A4" s="23" t="s">
        <v>11</v>
      </c>
      <c r="B4" s="49">
        <v>248.01</v>
      </c>
      <c r="C4" s="49"/>
      <c r="D4" s="25" t="s">
        <v>12</v>
      </c>
      <c r="E4" s="19"/>
    </row>
    <row r="5" spans="1:34">
      <c r="A5" s="24" t="s">
        <v>13</v>
      </c>
      <c r="B5" s="50">
        <v>520.22</v>
      </c>
      <c r="C5" s="50"/>
      <c r="D5" s="26" t="s">
        <v>12</v>
      </c>
      <c r="E5" s="19"/>
    </row>
    <row r="6" spans="1:34">
      <c r="A6" s="20" t="s">
        <v>36</v>
      </c>
      <c r="B6" s="52">
        <v>56800000</v>
      </c>
      <c r="C6" s="52"/>
      <c r="D6" s="52"/>
      <c r="E6" s="52"/>
      <c r="F6" s="22" t="s">
        <v>38</v>
      </c>
    </row>
    <row r="7" spans="1:34">
      <c r="A7" s="27" t="s">
        <v>37</v>
      </c>
      <c r="B7" s="53">
        <v>1000000</v>
      </c>
      <c r="C7" s="53"/>
      <c r="D7" s="53"/>
      <c r="E7" s="53"/>
      <c r="F7" s="28" t="s">
        <v>38</v>
      </c>
    </row>
    <row r="8" spans="1:34">
      <c r="A8" s="20" t="s">
        <v>39</v>
      </c>
      <c r="B8" s="21">
        <v>2026</v>
      </c>
      <c r="C8" s="6" t="s">
        <v>33</v>
      </c>
      <c r="D8" s="21">
        <v>4</v>
      </c>
      <c r="E8" s="6" t="s">
        <v>34</v>
      </c>
      <c r="F8" s="21">
        <v>30</v>
      </c>
      <c r="G8" s="22" t="s">
        <v>35</v>
      </c>
    </row>
    <row r="9" spans="1:34">
      <c r="A9" s="20" t="s">
        <v>40</v>
      </c>
      <c r="B9" s="29" t="s">
        <v>41</v>
      </c>
    </row>
    <row r="10" spans="1:34">
      <c r="B10" s="56" t="s">
        <v>42</v>
      </c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</row>
    <row r="11" spans="1:34">
      <c r="B11" s="56" t="s">
        <v>27</v>
      </c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</row>
    <row r="12" spans="1:34">
      <c r="B12" s="30" t="s">
        <v>28</v>
      </c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</row>
    <row r="13" spans="1:34">
      <c r="B13" s="30" t="s">
        <v>29</v>
      </c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</row>
    <row r="14" spans="1:34"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</row>
  </sheetData>
  <mergeCells count="9">
    <mergeCell ref="B2:G2"/>
    <mergeCell ref="B4:C4"/>
    <mergeCell ref="B5:C5"/>
    <mergeCell ref="B14:AH14"/>
    <mergeCell ref="B6:E6"/>
    <mergeCell ref="B7:E7"/>
    <mergeCell ref="B3:I3"/>
    <mergeCell ref="B10:AH10"/>
    <mergeCell ref="B11:AH11"/>
  </mergeCells>
  <phoneticPr fontId="4"/>
  <dataValidations count="1">
    <dataValidation type="list" allowBlank="1" showInputMessage="1" showErrorMessage="1" sqref="B9" xr:uid="{89EC083F-762F-6C4F-815D-E64363B66C6B}">
      <formula1>"あり,なし"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1" r:id="rId3" name="Button 7">
              <controlPr defaultSize="0" print="0" autoFill="0" autoPict="0" macro="[0]!PDF出力">
                <anchor moveWithCells="1" sizeWithCells="1">
                  <from>
                    <xdr:col>7</xdr:col>
                    <xdr:colOff>279400</xdr:colOff>
                    <xdr:row>14</xdr:row>
                    <xdr:rowOff>101600</xdr:rowOff>
                  </from>
                  <to>
                    <xdr:col>8</xdr:col>
                    <xdr:colOff>749300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621AC-6674-A34E-A3FF-556EED542561}">
  <sheetPr codeName="Sheet2"/>
  <dimension ref="A1:AP36"/>
  <sheetViews>
    <sheetView tabSelected="1" topLeftCell="A2" zoomScaleNormal="100" workbookViewId="0">
      <selection activeCell="AD27" sqref="AD27"/>
    </sheetView>
  </sheetViews>
  <sheetFormatPr baseColWidth="10" defaultColWidth="2.6640625" defaultRowHeight="18" customHeight="1"/>
  <cols>
    <col min="1" max="16384" width="2.6640625" style="4"/>
  </cols>
  <sheetData>
    <row r="1" spans="1:42" s="2" customFormat="1" ht="18" customHeight="1">
      <c r="A1" s="1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</row>
    <row r="2" spans="1:42" s="3" customFormat="1" ht="45" customHeight="1">
      <c r="A2" s="35" t="s">
        <v>1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9"/>
      <c r="AI2" s="9"/>
      <c r="AJ2" s="9"/>
      <c r="AK2" s="9"/>
      <c r="AL2" s="9"/>
      <c r="AM2" s="9"/>
      <c r="AN2" s="9"/>
      <c r="AO2" s="9"/>
      <c r="AP2" s="9"/>
    </row>
    <row r="3" spans="1:42" s="3" customFormat="1" ht="18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9"/>
      <c r="AI3" s="9"/>
      <c r="AJ3" s="9"/>
      <c r="AK3" s="9"/>
      <c r="AL3" s="9"/>
      <c r="AM3" s="9"/>
      <c r="AN3" s="9"/>
      <c r="AO3" s="9"/>
      <c r="AP3" s="9"/>
    </row>
    <row r="4" spans="1:42" s="3" customFormat="1" ht="18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36">
        <f>入力用!B1</f>
        <v>2026</v>
      </c>
      <c r="X4" s="36"/>
      <c r="Y4" s="36"/>
      <c r="Z4" s="36"/>
      <c r="AA4" s="9" t="s">
        <v>2</v>
      </c>
      <c r="AB4" s="36">
        <f>入力用!D1</f>
        <v>3</v>
      </c>
      <c r="AC4" s="36"/>
      <c r="AD4" s="9" t="s">
        <v>3</v>
      </c>
      <c r="AE4" s="36">
        <f>入力用!F1</f>
        <v>12</v>
      </c>
      <c r="AF4" s="36"/>
      <c r="AG4" s="9" t="s">
        <v>4</v>
      </c>
      <c r="AH4" s="9"/>
      <c r="AI4" s="9"/>
      <c r="AJ4" s="9"/>
      <c r="AK4" s="9"/>
      <c r="AL4" s="9"/>
      <c r="AM4" s="9"/>
      <c r="AN4" s="9"/>
      <c r="AO4" s="9"/>
      <c r="AP4" s="9"/>
    </row>
    <row r="5" spans="1:42" ht="18" customHeight="1">
      <c r="A5" s="8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</row>
    <row r="6" spans="1:42" s="3" customFormat="1" ht="18" customHeight="1">
      <c r="A6" s="41" t="s">
        <v>26</v>
      </c>
      <c r="B6" s="41"/>
      <c r="C6" s="41"/>
      <c r="D6" s="41"/>
      <c r="E6" s="41"/>
      <c r="F6" s="41"/>
      <c r="G6" s="41"/>
      <c r="H6" s="41"/>
      <c r="I6" s="41"/>
      <c r="J6" s="37" t="s">
        <v>5</v>
      </c>
      <c r="K6" s="37"/>
      <c r="L6" s="9"/>
      <c r="M6" s="9"/>
      <c r="N6" s="9"/>
      <c r="O6" s="9"/>
      <c r="P6" s="9"/>
      <c r="Q6" s="9"/>
      <c r="R6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</row>
    <row r="7" spans="1:42" s="3" customFormat="1" ht="18" customHeight="1">
      <c r="A7" s="42"/>
      <c r="B7" s="42"/>
      <c r="C7" s="42"/>
      <c r="D7" s="42"/>
      <c r="E7" s="42"/>
      <c r="F7" s="42"/>
      <c r="G7" s="42"/>
      <c r="H7" s="42"/>
      <c r="I7" s="42"/>
      <c r="J7" s="38"/>
      <c r="K7" s="38"/>
      <c r="L7" s="9"/>
      <c r="M7" s="9"/>
      <c r="N7" s="9"/>
      <c r="O7" s="9"/>
      <c r="P7" s="31" t="s">
        <v>30</v>
      </c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9"/>
      <c r="AF7" s="9"/>
      <c r="AG7" s="9"/>
      <c r="AH7" s="9"/>
      <c r="AI7" s="9"/>
      <c r="AJ7" s="9"/>
      <c r="AK7" s="9"/>
      <c r="AL7" s="9"/>
      <c r="AM7" s="9"/>
    </row>
    <row r="8" spans="1:42" s="3" customFormat="1" ht="18" customHeight="1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9"/>
      <c r="N8" s="9"/>
      <c r="O8" s="9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18"/>
      <c r="AF8" s="18"/>
      <c r="AG8" s="18"/>
      <c r="AH8" s="9"/>
      <c r="AI8" s="9"/>
      <c r="AJ8" s="9"/>
      <c r="AK8" s="9"/>
      <c r="AL8" s="9"/>
      <c r="AM8" s="9"/>
      <c r="AN8" s="9"/>
      <c r="AO8" s="9"/>
      <c r="AP8" s="9"/>
    </row>
    <row r="9" spans="1:42" s="3" customFormat="1" ht="18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39" t="s">
        <v>31</v>
      </c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9"/>
      <c r="AF9" s="9"/>
      <c r="AG9" s="9"/>
      <c r="AH9" s="9"/>
      <c r="AI9" s="9"/>
      <c r="AJ9" s="9"/>
      <c r="AK9" s="9"/>
      <c r="AL9" s="9"/>
      <c r="AM9" s="9"/>
    </row>
    <row r="10" spans="1:42" s="3" customFormat="1" ht="18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9"/>
      <c r="AF10" s="9"/>
      <c r="AG10" s="9"/>
      <c r="AH10" s="9"/>
      <c r="AI10" s="9"/>
      <c r="AJ10" s="9"/>
      <c r="AK10" s="9"/>
      <c r="AL10" s="9"/>
      <c r="AM10" s="9"/>
    </row>
    <row r="13" spans="1:42" s="2" customFormat="1" ht="18" customHeight="1">
      <c r="A13" s="9"/>
      <c r="B13" s="9" t="s">
        <v>6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11"/>
      <c r="AA13" s="11"/>
      <c r="AB13" s="11"/>
      <c r="AC13" s="11"/>
      <c r="AD13" s="11"/>
      <c r="AE13" s="9"/>
      <c r="AF13" s="9"/>
      <c r="AG13" s="9"/>
      <c r="AH13" s="9"/>
      <c r="AI13" s="9"/>
      <c r="AJ13" s="9"/>
      <c r="AK13" s="9"/>
      <c r="AL13" s="11"/>
      <c r="AM13" s="11"/>
      <c r="AN13" s="11"/>
      <c r="AO13" s="11"/>
      <c r="AP13" s="9"/>
    </row>
    <row r="14" spans="1:42" s="2" customFormat="1" ht="18" customHeight="1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11"/>
      <c r="AA14" s="11"/>
      <c r="AB14" s="11"/>
      <c r="AC14" s="11"/>
      <c r="AD14" s="11"/>
      <c r="AE14" s="9"/>
      <c r="AF14" s="9"/>
      <c r="AG14" s="9"/>
      <c r="AH14" s="9"/>
      <c r="AI14" s="9"/>
      <c r="AJ14" s="9"/>
      <c r="AK14" s="9"/>
      <c r="AL14" s="11"/>
      <c r="AM14" s="11"/>
      <c r="AN14" s="11"/>
      <c r="AO14" s="11"/>
      <c r="AP14" s="9"/>
    </row>
    <row r="15" spans="1:42" s="2" customFormat="1" ht="18" customHeight="1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 t="s">
        <v>7</v>
      </c>
      <c r="R15" s="9"/>
      <c r="S15" s="9"/>
      <c r="T15" s="9"/>
      <c r="U15" s="9"/>
      <c r="V15" s="9"/>
      <c r="W15" s="9"/>
      <c r="X15" s="9"/>
      <c r="Y15" s="9"/>
      <c r="Z15" s="11"/>
      <c r="AA15" s="11"/>
      <c r="AB15" s="11"/>
      <c r="AC15" s="11"/>
      <c r="AD15" s="11"/>
      <c r="AE15" s="9"/>
      <c r="AF15" s="9"/>
      <c r="AG15" s="9"/>
      <c r="AH15" s="9"/>
      <c r="AI15" s="9"/>
      <c r="AJ15" s="9"/>
      <c r="AK15" s="9"/>
      <c r="AL15" s="11"/>
      <c r="AM15" s="11"/>
      <c r="AN15" s="11"/>
      <c r="AO15" s="11"/>
      <c r="AP15" s="9"/>
    </row>
    <row r="16" spans="1:42" s="2" customFormat="1" ht="18" customHeight="1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11"/>
      <c r="AA16" s="11"/>
      <c r="AB16" s="11"/>
      <c r="AC16" s="11"/>
      <c r="AD16" s="11"/>
      <c r="AE16" s="9"/>
      <c r="AF16" s="9"/>
      <c r="AG16" s="9"/>
      <c r="AH16" s="9"/>
      <c r="AI16" s="9"/>
      <c r="AJ16" s="9"/>
      <c r="AK16" s="9"/>
      <c r="AL16" s="11"/>
      <c r="AM16" s="11"/>
      <c r="AN16" s="11"/>
      <c r="AO16" s="11"/>
      <c r="AP16" s="9"/>
    </row>
    <row r="17" spans="1:42" s="2" customFormat="1" ht="24.75" customHeight="1">
      <c r="A17" s="9" t="s">
        <v>8</v>
      </c>
      <c r="B17" s="9"/>
      <c r="C17" s="9"/>
      <c r="D17" s="9"/>
      <c r="E17" s="9"/>
      <c r="F17" s="9"/>
      <c r="G17" s="32" t="s">
        <v>9</v>
      </c>
      <c r="H17" s="32"/>
      <c r="I17" s="32"/>
      <c r="J17" s="17"/>
      <c r="K17" s="5" t="str">
        <f>入力用!B2</f>
        <v>タウン西野</v>
      </c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2"/>
      <c r="AB17" s="12"/>
      <c r="AC17" s="12"/>
      <c r="AD17" s="12"/>
      <c r="AE17" s="12"/>
      <c r="AF17" s="17"/>
      <c r="AG17" s="17"/>
      <c r="AH17" s="9"/>
      <c r="AI17" s="9"/>
      <c r="AJ17" s="9"/>
      <c r="AK17" s="9"/>
      <c r="AL17" s="9"/>
      <c r="AM17" s="9"/>
      <c r="AN17" s="9"/>
      <c r="AO17" s="9"/>
      <c r="AP17" s="9"/>
    </row>
    <row r="18" spans="1:42" s="2" customFormat="1" ht="24.75" customHeight="1">
      <c r="A18" s="9"/>
      <c r="B18" s="9"/>
      <c r="C18" s="9"/>
      <c r="D18" s="9"/>
      <c r="E18" s="9"/>
      <c r="F18" s="9"/>
      <c r="G18" s="34" t="s">
        <v>10</v>
      </c>
      <c r="H18" s="34"/>
      <c r="I18" s="34"/>
      <c r="J18" s="13"/>
      <c r="K18" s="6" t="str">
        <f>入力用!B3</f>
        <v>岐阜市西野町8-5-6</v>
      </c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4"/>
      <c r="AB18" s="14"/>
      <c r="AC18" s="14"/>
      <c r="AD18" s="14"/>
      <c r="AE18" s="14"/>
      <c r="AF18" s="13"/>
      <c r="AG18" s="13"/>
      <c r="AH18" s="9"/>
      <c r="AI18" s="9"/>
      <c r="AJ18" s="9"/>
      <c r="AK18" s="9"/>
      <c r="AL18" s="9"/>
      <c r="AM18" s="9"/>
      <c r="AN18" s="9"/>
      <c r="AO18" s="9"/>
      <c r="AP18" s="9"/>
    </row>
    <row r="19" spans="1:42" s="2" customFormat="1" ht="24.75" customHeight="1">
      <c r="A19" s="9"/>
      <c r="B19" s="9"/>
      <c r="C19" s="9"/>
      <c r="D19" s="9"/>
      <c r="E19" s="9"/>
      <c r="F19" s="9"/>
      <c r="G19" s="34" t="s">
        <v>11</v>
      </c>
      <c r="H19" s="34"/>
      <c r="I19" s="34"/>
      <c r="J19" s="13"/>
      <c r="K19" s="40">
        <f>入力用!B4</f>
        <v>248.01</v>
      </c>
      <c r="L19" s="40"/>
      <c r="M19" s="40"/>
      <c r="N19" s="40"/>
      <c r="O19" s="40"/>
      <c r="P19" s="13" t="s">
        <v>12</v>
      </c>
      <c r="Q19" s="13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13"/>
      <c r="AH19" s="9"/>
      <c r="AI19" s="9"/>
      <c r="AJ19" s="9"/>
      <c r="AK19" s="9"/>
      <c r="AL19" s="9"/>
      <c r="AM19" s="9"/>
      <c r="AN19" s="9"/>
      <c r="AO19" s="9"/>
      <c r="AP19" s="9"/>
    </row>
    <row r="20" spans="1:42" s="2" customFormat="1" ht="24.75" customHeight="1">
      <c r="A20" s="9"/>
      <c r="B20" s="9"/>
      <c r="C20" s="9"/>
      <c r="D20" s="9"/>
      <c r="E20" s="9"/>
      <c r="F20" s="9"/>
      <c r="G20" s="32" t="s">
        <v>13</v>
      </c>
      <c r="H20" s="32"/>
      <c r="I20" s="32"/>
      <c r="J20" s="17"/>
      <c r="K20" s="33">
        <f>入力用!B5</f>
        <v>520.22</v>
      </c>
      <c r="L20" s="33"/>
      <c r="M20" s="33"/>
      <c r="N20" s="33"/>
      <c r="O20" s="33"/>
      <c r="P20" s="13" t="s">
        <v>12</v>
      </c>
      <c r="Q20" s="13"/>
      <c r="R20" s="34"/>
      <c r="S20" s="34"/>
      <c r="T20" s="34"/>
      <c r="U20" s="34"/>
      <c r="V20" s="13"/>
      <c r="W20" s="13"/>
      <c r="X20" s="17"/>
      <c r="Y20" s="17"/>
      <c r="Z20" s="17"/>
      <c r="AA20" s="12"/>
      <c r="AB20" s="12"/>
      <c r="AC20" s="12"/>
      <c r="AD20" s="12"/>
      <c r="AE20" s="12"/>
      <c r="AF20" s="17"/>
      <c r="AG20" s="17"/>
      <c r="AH20" s="9"/>
      <c r="AI20" s="9"/>
      <c r="AJ20" s="9"/>
      <c r="AK20" s="9"/>
      <c r="AL20" s="9"/>
      <c r="AM20" s="9"/>
      <c r="AN20" s="9"/>
      <c r="AO20" s="9"/>
      <c r="AP20" s="9"/>
    </row>
    <row r="21" spans="1:42" s="2" customFormat="1" ht="24.75" customHeight="1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</row>
    <row r="22" spans="1:42" s="2" customFormat="1" ht="24.75" customHeight="1">
      <c r="A22" s="9" t="s">
        <v>14</v>
      </c>
      <c r="B22" s="9"/>
      <c r="C22" s="9"/>
      <c r="D22" s="9"/>
      <c r="E22" s="9"/>
      <c r="F22" s="9"/>
      <c r="G22" s="9" t="s">
        <v>15</v>
      </c>
      <c r="H22" s="9"/>
      <c r="I22" s="9"/>
      <c r="J22" s="9"/>
      <c r="K22" s="9"/>
      <c r="L22" s="9" t="s">
        <v>16</v>
      </c>
      <c r="M22" s="45">
        <f>入力用!B6</f>
        <v>56800000</v>
      </c>
      <c r="N22" s="36"/>
      <c r="O22" s="36"/>
      <c r="P22" s="36"/>
      <c r="Q22" s="36"/>
      <c r="R22" s="36"/>
      <c r="S22" s="36"/>
      <c r="T22" s="9" t="s">
        <v>17</v>
      </c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</row>
    <row r="23" spans="1:42" s="2" customFormat="1" ht="24.75" customHeight="1">
      <c r="A23" s="9"/>
      <c r="B23" s="9"/>
      <c r="C23" s="9"/>
      <c r="D23" s="9"/>
      <c r="E23" s="9"/>
      <c r="F23" s="9"/>
      <c r="G23" s="9" t="s">
        <v>18</v>
      </c>
      <c r="H23" s="9"/>
      <c r="I23" s="9"/>
      <c r="J23" s="9"/>
      <c r="K23" s="9"/>
      <c r="L23" s="9" t="s">
        <v>16</v>
      </c>
      <c r="M23" s="46">
        <f>入力用!B7</f>
        <v>1000000</v>
      </c>
      <c r="N23" s="46"/>
      <c r="O23" s="46"/>
      <c r="P23" s="46"/>
      <c r="Q23" s="46"/>
      <c r="R23" s="46"/>
      <c r="S23" s="46"/>
      <c r="T23" s="9" t="s">
        <v>17</v>
      </c>
      <c r="U23" s="9"/>
      <c r="V23" s="9"/>
      <c r="W23" s="9" t="s">
        <v>19</v>
      </c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</row>
    <row r="24" spans="1:42" s="2" customFormat="1" ht="24.75" customHeight="1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15"/>
      <c r="AM24" s="15"/>
      <c r="AN24" s="15"/>
      <c r="AO24" s="15"/>
      <c r="AP24" s="9"/>
    </row>
    <row r="25" spans="1:42" s="2" customFormat="1" ht="24.75" customHeight="1">
      <c r="A25" s="9" t="s">
        <v>20</v>
      </c>
      <c r="B25" s="9"/>
      <c r="C25" s="9"/>
      <c r="D25" s="9"/>
      <c r="E25" s="9"/>
      <c r="F25" s="9"/>
      <c r="G25" t="s">
        <v>21</v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15"/>
      <c r="AM25" s="15"/>
      <c r="AN25" s="15"/>
      <c r="AO25" s="15"/>
      <c r="AP25" s="9"/>
    </row>
    <row r="26" spans="1:42" s="2" customFormat="1" ht="24.7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15"/>
      <c r="AM26" s="15"/>
      <c r="AN26" s="15"/>
      <c r="AO26" s="15"/>
      <c r="AP26" s="9"/>
    </row>
    <row r="27" spans="1:42" s="2" customFormat="1" ht="24.75" customHeight="1">
      <c r="A27" s="9" t="s">
        <v>22</v>
      </c>
      <c r="B27" s="9"/>
      <c r="C27" s="9"/>
      <c r="D27" s="9"/>
      <c r="E27" s="9"/>
      <c r="F27" s="9"/>
      <c r="G27" s="9" t="s">
        <v>23</v>
      </c>
      <c r="H27" s="9"/>
      <c r="I27" s="9"/>
      <c r="J27" s="9"/>
      <c r="K27" s="9"/>
      <c r="L27" s="9"/>
      <c r="M27" s="9"/>
      <c r="N27" s="36">
        <f>入力用!B8</f>
        <v>2026</v>
      </c>
      <c r="O27" s="36"/>
      <c r="P27" s="36"/>
      <c r="Q27" s="36"/>
      <c r="R27" s="9" t="s">
        <v>2</v>
      </c>
      <c r="S27" s="36">
        <f>入力用!D8</f>
        <v>4</v>
      </c>
      <c r="T27" s="36"/>
      <c r="U27" s="9" t="s">
        <v>3</v>
      </c>
      <c r="V27" s="36">
        <f>入力用!F8</f>
        <v>30</v>
      </c>
      <c r="W27" s="36"/>
      <c r="X27" s="9" t="s">
        <v>24</v>
      </c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15"/>
      <c r="AM27" s="15"/>
      <c r="AN27" s="15"/>
      <c r="AO27" s="15"/>
      <c r="AP27" s="9"/>
    </row>
    <row r="28" spans="1:42" s="2" customFormat="1" ht="24.75" customHeight="1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15"/>
      <c r="AM28" s="15"/>
      <c r="AN28" s="15"/>
      <c r="AO28" s="15"/>
      <c r="AP28" s="9"/>
    </row>
    <row r="29" spans="1:42" ht="24.75" customHeight="1">
      <c r="A29" s="9" t="s">
        <v>43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</row>
    <row r="30" spans="1:42" ht="24.75" customHeight="1">
      <c r="A30" s="43" t="str">
        <f>IF(入力用!$B$9="なし","　素晴らしい物件にご縁をいただき感謝申し上げます。",IF(入力用!B10="","",入力用!B10))</f>
        <v>　素晴らしい物件にご縁をいただき感謝申し上げます。</v>
      </c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9"/>
      <c r="AI30" s="9"/>
      <c r="AJ30" s="9"/>
      <c r="AK30" s="9"/>
      <c r="AL30" s="9"/>
      <c r="AM30" s="9"/>
      <c r="AN30" s="9"/>
      <c r="AO30" s="9"/>
      <c r="AP30" s="9"/>
    </row>
    <row r="31" spans="1:42" ht="24.75" customHeight="1">
      <c r="A31" s="43" t="str">
        <f>IF(入力用!$B$9="なし","",IF(入力用!B11="","",入力用!B11))</f>
        <v/>
      </c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9"/>
      <c r="AI31" s="9"/>
      <c r="AJ31" s="9"/>
      <c r="AK31" s="9"/>
      <c r="AL31" s="9"/>
      <c r="AM31" s="9"/>
      <c r="AN31" s="9"/>
      <c r="AO31" s="9"/>
      <c r="AP31" s="9"/>
    </row>
    <row r="32" spans="1:42" ht="24.75" customHeight="1">
      <c r="A32" s="43" t="str">
        <f>IF(入力用!$B$9="なし","",IF(入力用!B12="","",入力用!B12))</f>
        <v/>
      </c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9"/>
      <c r="AI32" s="9"/>
      <c r="AJ32" s="9"/>
      <c r="AK32" s="9"/>
      <c r="AL32" s="9"/>
      <c r="AM32" s="9"/>
      <c r="AN32" s="9"/>
      <c r="AO32" s="9"/>
      <c r="AP32" s="9"/>
    </row>
    <row r="33" spans="1:42" ht="24.75" customHeight="1">
      <c r="A33" s="43" t="str">
        <f>IF(入力用!$B$9="なし","",IF(入力用!B13="","",入力用!B13))</f>
        <v/>
      </c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9"/>
      <c r="AI33" s="9"/>
      <c r="AJ33" s="9"/>
      <c r="AK33" s="9"/>
      <c r="AL33" s="9"/>
      <c r="AM33" s="9"/>
      <c r="AN33" s="9"/>
      <c r="AO33" s="9"/>
      <c r="AP33" s="9"/>
    </row>
    <row r="34" spans="1:42" ht="24.75" customHeight="1">
      <c r="A34" s="44" t="str">
        <f>IF(入力用!$B$9="なし","",IF(入力用!B14="","",入力用!B14))</f>
        <v/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9"/>
      <c r="AI34" s="9"/>
      <c r="AJ34" s="9"/>
      <c r="AK34" s="9"/>
      <c r="AL34" s="9"/>
      <c r="AM34" s="9"/>
      <c r="AN34" s="9"/>
      <c r="AO34" s="9"/>
      <c r="AP34" s="9"/>
    </row>
    <row r="35" spans="1:42" ht="18" customHeight="1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</row>
    <row r="36" spans="1:42" ht="18" customHeight="1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 t="s">
        <v>25</v>
      </c>
      <c r="AG36" s="9"/>
      <c r="AH36" s="9"/>
      <c r="AI36" s="9"/>
      <c r="AJ36" s="9"/>
      <c r="AK36" s="9"/>
      <c r="AL36" s="9"/>
      <c r="AM36" s="9"/>
      <c r="AN36" s="9"/>
      <c r="AO36" s="9"/>
      <c r="AP36" s="9"/>
    </row>
  </sheetData>
  <mergeCells count="25">
    <mergeCell ref="A31:AG31"/>
    <mergeCell ref="A32:AG32"/>
    <mergeCell ref="A33:AG33"/>
    <mergeCell ref="A34:AG34"/>
    <mergeCell ref="M22:S22"/>
    <mergeCell ref="M23:S23"/>
    <mergeCell ref="N27:Q27"/>
    <mergeCell ref="S27:T27"/>
    <mergeCell ref="V27:W27"/>
    <mergeCell ref="A30:AG30"/>
    <mergeCell ref="P7:AD8"/>
    <mergeCell ref="G20:I20"/>
    <mergeCell ref="K20:O20"/>
    <mergeCell ref="R20:U20"/>
    <mergeCell ref="A2:AG2"/>
    <mergeCell ref="W4:Z4"/>
    <mergeCell ref="AB4:AC4"/>
    <mergeCell ref="AE4:AF4"/>
    <mergeCell ref="J6:K7"/>
    <mergeCell ref="P9:AD10"/>
    <mergeCell ref="G17:I17"/>
    <mergeCell ref="G18:I18"/>
    <mergeCell ref="G19:I19"/>
    <mergeCell ref="K19:O19"/>
    <mergeCell ref="A6:I7"/>
  </mergeCells>
  <phoneticPr fontId="4"/>
  <dataValidations count="1">
    <dataValidation imeMode="on" allowBlank="1" showInputMessage="1" showErrorMessage="1" sqref="P7 P9 B8:I8 J8:L8 A6 A8" xr:uid="{013C5E7E-F186-A646-94E5-B91F2D8D5B7A}"/>
  </dataValidations>
  <hyperlinks>
    <hyperlink ref="A1" r:id="rId1" xr:uid="{309E4AB7-4971-E048-AE76-6AC86D1418B6}"/>
  </hyperlinks>
  <pageMargins left="0.78740157480314965" right="0.78740157480314965" top="0.98425196850393704" bottom="0.98425196850393704" header="0.51181102362204722" footer="0.51181102362204722"/>
  <pageSetup paperSize="9" scale="89" orientation="portrait" horizontalDpi="4294967292" verticalDpi="4294967292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入力用</vt:lpstr>
      <vt:lpstr>買付証明書</vt:lpstr>
      <vt:lpstr>買付証明書!Print_Area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NORIHITO SHIGEMOTO</cp:lastModifiedBy>
  <cp:revision/>
  <cp:lastPrinted>2026-03-12T07:59:36Z</cp:lastPrinted>
  <dcterms:created xsi:type="dcterms:W3CDTF">2009-09-16T03:08:48Z</dcterms:created>
  <dcterms:modified xsi:type="dcterms:W3CDTF">2026-03-12T22:48:38Z</dcterms:modified>
  <cp:category/>
  <cp:contentStatus/>
</cp:coreProperties>
</file>